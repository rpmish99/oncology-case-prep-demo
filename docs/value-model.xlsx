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e 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&quot;$&quot;#,##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color rgb="001F4FBF"/>
    </font>
  </fonts>
  <fills count="3">
    <fill>
      <patternFill/>
    </fill>
    <fill>
      <patternFill patternType="gray125"/>
    </fill>
    <fill>
      <patternFill patternType="solid">
        <fgColor rgb="00E3EE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1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70" customWidth="1" min="3" max="3"/>
    <col width="14" customWidth="1" min="4" max="4"/>
    <col width="14" customWidth="1" min="5" max="5"/>
  </cols>
  <sheetData>
    <row r="1">
      <c r="A1" s="1" t="inlineStr">
        <is>
          <t>Tumor board case prep: illustrative value model</t>
        </is>
      </c>
    </row>
    <row r="2">
      <c r="A2" t="inlineStr">
        <is>
          <t>Blue cells are assumptions you can change. Every figure here is illustrative until a pilot measures real times.</t>
        </is>
      </c>
    </row>
    <row r="4">
      <c r="A4" s="2" t="inlineStr">
        <is>
          <t>Inputs</t>
        </is>
      </c>
      <c r="B4" s="2" t="inlineStr">
        <is>
          <t>Value</t>
        </is>
      </c>
      <c r="C4" s="2" t="inlineStr">
        <is>
          <t>Note</t>
        </is>
      </c>
    </row>
    <row r="5">
      <c r="A5" t="inlineStr">
        <is>
          <t>New cases presented per month</t>
        </is>
      </c>
      <c r="B5" s="3" t="n">
        <v>40</v>
      </c>
      <c r="C5" t="inlineStr">
        <is>
          <t>About 500 new breast cancer cases a year, most presented at tumor board</t>
        </is>
      </c>
    </row>
    <row r="6">
      <c r="A6" t="inlineStr">
        <is>
          <t>Minutes to prepare a case today</t>
        </is>
      </c>
      <c r="B6" s="3" t="n">
        <v>75</v>
      </c>
      <c r="C6" t="inlineStr">
        <is>
          <t>Midpoint of the 60 to 90 minute range; confirm with the team</t>
        </is>
      </c>
    </row>
    <row r="7">
      <c r="A7" t="inlineStr">
        <is>
          <t>Minutes to review a prepared case</t>
        </is>
      </c>
      <c r="B7" s="3" t="n">
        <v>25</v>
      </c>
      <c r="C7" t="inlineStr">
        <is>
          <t>Reading the draft packet, checking sources and editing; confirm in a pilot</t>
        </is>
      </c>
    </row>
    <row r="8">
      <c r="A8" t="inlineStr">
        <is>
          <t>Blended hourly cost (USD)</t>
        </is>
      </c>
      <c r="B8" s="3" t="n">
        <v>120</v>
      </c>
      <c r="C8" t="inlineStr">
        <is>
          <t>Oncologist and navigator time blended; replace with your own rate</t>
        </is>
      </c>
    </row>
    <row r="10">
      <c r="A10" s="2" t="inlineStr">
        <is>
          <t>Results</t>
        </is>
      </c>
      <c r="B10" s="2" t="inlineStr">
        <is>
          <t>Value</t>
        </is>
      </c>
      <c r="C10" s="2" t="inlineStr">
        <is>
          <t>How it is calculated</t>
        </is>
      </c>
    </row>
    <row r="11">
      <c r="A11" t="inlineStr">
        <is>
          <t>Minutes saved per case</t>
        </is>
      </c>
      <c r="B11" s="4">
        <f>B6-B7</f>
        <v/>
      </c>
      <c r="C11" t="inlineStr">
        <is>
          <t>Today minus with assistant</t>
        </is>
      </c>
    </row>
    <row r="12">
      <c r="A12" t="inlineStr">
        <is>
          <t>Hours saved per month</t>
        </is>
      </c>
      <c r="B12" s="5">
        <f>B5*B11/60</f>
        <v/>
      </c>
      <c r="C12" t="inlineStr">
        <is>
          <t>Cases times minutes saved, in hours</t>
        </is>
      </c>
    </row>
    <row r="13">
      <c r="A13" t="inlineStr">
        <is>
          <t>Cost of time saved per month (USD)</t>
        </is>
      </c>
      <c r="B13" s="6">
        <f>B12*B8</f>
        <v/>
      </c>
      <c r="C13" t="inlineStr">
        <is>
          <t>Hours saved times hourly cost</t>
        </is>
      </c>
    </row>
    <row r="14">
      <c r="A14" t="inlineStr">
        <is>
          <t>Cost of time saved per year (USD)</t>
        </is>
      </c>
      <c r="B14" s="6">
        <f>B13*12</f>
        <v/>
      </c>
      <c r="C14" t="inlineStr">
        <is>
          <t>Monthly figure times 12</t>
        </is>
      </c>
    </row>
    <row r="16">
      <c r="A16" s="7" t="inlineStr">
        <is>
          <t>Hours saved per month at different volumes and minutes saved per case</t>
        </is>
      </c>
    </row>
    <row r="17">
      <c r="A17" s="7" t="inlineStr">
        <is>
          <t>Cases per month</t>
        </is>
      </c>
      <c r="B17" s="8" t="n">
        <v>30</v>
      </c>
      <c r="C17" s="8" t="n">
        <v>40</v>
      </c>
      <c r="D17" s="8" t="n">
        <v>50</v>
      </c>
      <c r="E17" s="8" t="n">
        <v>60</v>
      </c>
      <c r="F17" t="inlineStr">
        <is>
          <t>&lt;- minutes saved per case</t>
        </is>
      </c>
    </row>
    <row r="18">
      <c r="A18" s="3" t="n">
        <v>20</v>
      </c>
      <c r="B18" s="5">
        <f>$A18*B$17/60</f>
        <v/>
      </c>
      <c r="C18" s="5">
        <f>$A18*C$17/60</f>
        <v/>
      </c>
      <c r="D18" s="5">
        <f>$A18*D$17/60</f>
        <v/>
      </c>
      <c r="E18" s="5">
        <f>$A18*E$17/60</f>
        <v/>
      </c>
    </row>
    <row r="19">
      <c r="A19" s="3" t="n">
        <v>30</v>
      </c>
      <c r="B19" s="5">
        <f>$A19*B$17/60</f>
        <v/>
      </c>
      <c r="C19" s="5">
        <f>$A19*C$17/60</f>
        <v/>
      </c>
      <c r="D19" s="5">
        <f>$A19*D$17/60</f>
        <v/>
      </c>
      <c r="E19" s="5">
        <f>$A19*E$17/60</f>
        <v/>
      </c>
    </row>
    <row r="20">
      <c r="A20" s="3" t="n">
        <v>40</v>
      </c>
      <c r="B20" s="5">
        <f>$A20*B$17/60</f>
        <v/>
      </c>
      <c r="C20" s="5">
        <f>$A20*C$17/60</f>
        <v/>
      </c>
      <c r="D20" s="5">
        <f>$A20*D$17/60</f>
        <v/>
      </c>
      <c r="E20" s="5">
        <f>$A20*E$17/60</f>
        <v/>
      </c>
    </row>
    <row r="21">
      <c r="A21" s="3" t="n">
        <v>60</v>
      </c>
      <c r="B21" s="5">
        <f>$A21*B$17/60</f>
        <v/>
      </c>
      <c r="C21" s="5">
        <f>$A21*C$17/60</f>
        <v/>
      </c>
      <c r="D21" s="5">
        <f>$A21*D$17/60</f>
        <v/>
      </c>
      <c r="E21" s="5">
        <f>$A21*E$17/60</f>
        <v/>
      </c>
    </row>
    <row r="24">
      <c r="A24" s="7" t="inlineStr">
        <is>
          <t>To measure in a pilot</t>
        </is>
      </c>
    </row>
    <row r="25">
      <c r="A25" t="inlineStr">
        <is>
          <t>Actual preparation minutes per case, before and after</t>
        </is>
      </c>
    </row>
    <row r="26">
      <c r="A26" t="inlineStr">
        <is>
          <t>Sources that disagree, caught before the meeting, per case</t>
        </is>
      </c>
    </row>
    <row r="27">
      <c r="A27" t="inlineStr">
        <is>
          <t>How often clinicians edit or reject the draft</t>
        </is>
      </c>
    </row>
    <row r="28">
      <c r="A28" t="inlineStr">
        <is>
          <t>Model cost per case (not included above)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2026-10-28T19:50:29Z</dcterms:created>
  <dcterms:modified xmlns:dcterms="http://purl.org/dc/terms/" xmlns:xsi="http://www.w3.org/2001/XMLSchema-instance" xsi:type="dcterms:W3CDTF">2026-10-28T19:50:29Z</dcterms:modified>
</cp:coreProperties>
</file>